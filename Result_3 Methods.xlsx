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.Nguyen\Documents\DATABASES\Master's Degree Materials\2. Working\2025017 Master Thesis\Report\20251007 Rev19_Optimal Approach\"/>
    </mc:Choice>
  </mc:AlternateContent>
  <xr:revisionPtr revIDLastSave="0" documentId="8_{526DEEDB-1FE9-4201-9582-83D37B2FE444}" xr6:coauthVersionLast="47" xr6:coauthVersionMax="47" xr10:uidLastSave="{00000000-0000-0000-0000-000000000000}"/>
  <bookViews>
    <workbookView xWindow="-108" yWindow="12852" windowWidth="23256" windowHeight="12456" activeTab="3" xr2:uid="{6BC1F537-3ABA-43D9-86F8-4E70A6415332}"/>
  </bookViews>
  <sheets>
    <sheet name="DATA INPUT" sheetId="1" r:id="rId1"/>
    <sheet name="MAX CAP." sheetId="2" r:id="rId2"/>
    <sheet name="CPLEX" sheetId="3" r:id="rId3"/>
    <sheet name="MATL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4" l="1"/>
  <c r="G25" i="4"/>
  <c r="G21" i="4"/>
  <c r="G26" i="4"/>
  <c r="G22" i="4"/>
  <c r="G20" i="4"/>
  <c r="G23" i="4"/>
  <c r="G19" i="4"/>
  <c r="J13" i="4"/>
  <c r="J12" i="4"/>
  <c r="J11" i="4"/>
  <c r="J10" i="4"/>
  <c r="J9" i="4"/>
  <c r="J8" i="4"/>
  <c r="J7" i="4"/>
  <c r="J6" i="4"/>
  <c r="F22" i="2"/>
  <c r="F23" i="2"/>
  <c r="F24" i="2"/>
  <c r="F25" i="2"/>
  <c r="F26" i="2"/>
  <c r="F27" i="2"/>
  <c r="F28" i="2"/>
  <c r="F21" i="2"/>
  <c r="G22" i="2"/>
  <c r="G23" i="2"/>
  <c r="G24" i="2"/>
  <c r="G25" i="2"/>
  <c r="G26" i="2"/>
  <c r="G27" i="2"/>
  <c r="G28" i="2"/>
  <c r="G21" i="2"/>
  <c r="F20" i="3"/>
  <c r="F21" i="3"/>
  <c r="F22" i="3"/>
  <c r="F23" i="3"/>
  <c r="F24" i="3"/>
  <c r="F25" i="3"/>
  <c r="F26" i="3"/>
  <c r="F19" i="3"/>
  <c r="E20" i="3"/>
  <c r="E21" i="3"/>
  <c r="E22" i="3"/>
  <c r="E23" i="3"/>
  <c r="E24" i="3"/>
  <c r="E25" i="3"/>
  <c r="E26" i="3"/>
  <c r="E19" i="3"/>
  <c r="J8" i="3"/>
  <c r="J9" i="3"/>
  <c r="J10" i="3"/>
  <c r="J12" i="3"/>
  <c r="J13" i="3"/>
  <c r="J6" i="3"/>
  <c r="J11" i="3"/>
  <c r="J7" i="3"/>
  <c r="K13" i="2"/>
  <c r="K14" i="2"/>
  <c r="K9" i="2"/>
  <c r="K7" i="2"/>
  <c r="K12" i="2"/>
  <c r="K11" i="2"/>
  <c r="K8" i="2"/>
  <c r="K10" i="2"/>
  <c r="I10" i="1"/>
  <c r="D12" i="1"/>
  <c r="C12" i="1"/>
  <c r="E12" i="1"/>
  <c r="F12" i="1"/>
  <c r="G12" i="1"/>
  <c r="G11" i="1"/>
  <c r="F11" i="1"/>
  <c r="E11" i="1"/>
  <c r="D11" i="1"/>
  <c r="C11" i="1"/>
  <c r="I11" i="1" s="1"/>
  <c r="E5" i="1"/>
  <c r="F5" i="1"/>
  <c r="G5" i="1"/>
  <c r="E6" i="1"/>
  <c r="F6" i="1"/>
  <c r="G6" i="1"/>
  <c r="E7" i="1"/>
  <c r="F7" i="1"/>
  <c r="G7" i="1"/>
  <c r="E8" i="1"/>
  <c r="F8" i="1"/>
  <c r="G8" i="1"/>
  <c r="E9" i="1"/>
  <c r="F9" i="1"/>
  <c r="G9" i="1"/>
  <c r="C6" i="1"/>
  <c r="D6" i="1"/>
  <c r="C7" i="1"/>
  <c r="D7" i="1"/>
  <c r="C8" i="1"/>
  <c r="D8" i="1"/>
  <c r="C9" i="1"/>
  <c r="D9" i="1"/>
  <c r="D5" i="1"/>
  <c r="C5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D16" i="1"/>
  <c r="E16" i="1"/>
  <c r="F16" i="1"/>
  <c r="G16" i="1"/>
  <c r="C16" i="1"/>
  <c r="M6" i="1"/>
  <c r="M7" i="1"/>
  <c r="M8" i="1"/>
  <c r="M9" i="1"/>
  <c r="M11" i="1"/>
  <c r="M12" i="1"/>
  <c r="M5" i="1"/>
  <c r="I8" i="1" l="1"/>
  <c r="I9" i="1"/>
  <c r="I5" i="1"/>
  <c r="I6" i="1"/>
  <c r="I12" i="1"/>
  <c r="I7" i="1"/>
</calcChain>
</file>

<file path=xl/sharedStrings.xml><?xml version="1.0" encoding="utf-8"?>
<sst xmlns="http://schemas.openxmlformats.org/spreadsheetml/2006/main" count="105" uniqueCount="22">
  <si>
    <t>Số lượng trụ sạc tối đa (trụ)</t>
  </si>
  <si>
    <t>Trạm sạc</t>
  </si>
  <si>
    <t>Xe máy điện</t>
  </si>
  <si>
    <t>Xe ô tô điện 5 chỗ</t>
  </si>
  <si>
    <t>Xe ô tô điện 7 chỗ</t>
  </si>
  <si>
    <t>Xe taxi điện 7 chỗ</t>
  </si>
  <si>
    <t>Xe buýt điện</t>
  </si>
  <si>
    <t>CC-TM1</t>
  </si>
  <si>
    <t>CC-HH1</t>
  </si>
  <si>
    <t>CC-TT1</t>
  </si>
  <si>
    <t>CC-TM2</t>
  </si>
  <si>
    <t>CC-TM3</t>
  </si>
  <si>
    <t>CC-BDX</t>
  </si>
  <si>
    <t>CC-HH2</t>
  </si>
  <si>
    <t>CC-TLC</t>
  </si>
  <si>
    <t>Sum</t>
  </si>
  <si>
    <t>Số lượng trụ sạc (trụ)</t>
  </si>
  <si>
    <t>sum</t>
  </si>
  <si>
    <t>Trụ sạc 11kW</t>
  </si>
  <si>
    <t>Trụ sạc 60kW</t>
  </si>
  <si>
    <t>Trụ sạc 150kW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</si>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</sst>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2" fontId="0" fillId="0" borderId="0" xfId="0" applyNumberFormat="1"/>
    <xf numFmtId="1" fontId="1" fillId="0" borderId="6" xfId="0" applyNumberFormat="1" applyFont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0" fontId="0" fillId="0" borderId="0" xfId="0" applyFill="1"/>
    <xf numFmtId="0" fontId="2" fillId="0" borderId="7" xfId="0" applyFont="1" applyFill="1" applyBorder="1" applyAlignment="1">
      <alignment horizontal="center" vertical="center" wrapText="1"/>
    </xf>
    <xf numFmtId="1" fontId="0" fillId="0" borderId="0" xfId="0" applyNumberFormat="1"/>
    <xf numFmtId="0" fontId="2" fillId="0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'MAX CAP.'!$E$6</c:f>
              <c:strCache>
                <c:ptCount val="1"/>
                <c:pt idx="0">
                  <c:v>Trụ sạc 11kW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CAP.'!$E$21:$E$28</c:f>
              <c:numCache>
                <c:formatCode>0</c:formatCode>
                <c:ptCount val="8"/>
                <c:pt idx="0">
                  <c:v>2575.3662972972975</c:v>
                </c:pt>
                <c:pt idx="1">
                  <c:v>1739.628608108108</c:v>
                </c:pt>
                <c:pt idx="2">
                  <c:v>562.62338513513509</c:v>
                </c:pt>
                <c:pt idx="3">
                  <c:v>174.49753378378375</c:v>
                </c:pt>
                <c:pt idx="4">
                  <c:v>174.49753378378375</c:v>
                </c:pt>
                <c:pt idx="5">
                  <c:v>136.82955405405406</c:v>
                </c:pt>
                <c:pt idx="6">
                  <c:v>120.4875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9-4643-B219-92CB91A72F9A}"/>
            </c:ext>
          </c:extLst>
        </c:ser>
        <c:ser>
          <c:idx val="1"/>
          <c:order val="1"/>
          <c:tx>
            <c:strRef>
              <c:f>'MAX CAP.'!$F$6</c:f>
              <c:strCache>
                <c:ptCount val="1"/>
                <c:pt idx="0">
                  <c:v>Trụ sạc 60kW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CAP.'!$F$21:$F$28</c:f>
              <c:numCache>
                <c:formatCode>0</c:formatCode>
                <c:ptCount val="8"/>
                <c:pt idx="0">
                  <c:v>427.65949953271831</c:v>
                </c:pt>
                <c:pt idx="1">
                  <c:v>288.87879005680338</c:v>
                </c:pt>
                <c:pt idx="2">
                  <c:v>93.427966175065563</c:v>
                </c:pt>
                <c:pt idx="3">
                  <c:v>28.976665589660733</c:v>
                </c:pt>
                <c:pt idx="4">
                  <c:v>28.976665589660733</c:v>
                </c:pt>
                <c:pt idx="5">
                  <c:v>22.721606114614275</c:v>
                </c:pt>
                <c:pt idx="6">
                  <c:v>20.007881598832661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9-4643-B219-92CB91A72F9A}"/>
            </c:ext>
          </c:extLst>
        </c:ser>
        <c:ser>
          <c:idx val="2"/>
          <c:order val="2"/>
          <c:tx>
            <c:strRef>
              <c:f>'MAX CAP.'!$G$6</c:f>
              <c:strCache>
                <c:ptCount val="1"/>
                <c:pt idx="0">
                  <c:v>Trụ sạc 150kW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'MAX CAP.'!$D$21:$D$28</c:f>
              <c:strCache>
                <c:ptCount val="8"/>
                <c:pt idx="0">
                  <c:v>CC-HH2</c:v>
                </c:pt>
                <c:pt idx="1">
                  <c:v>CC-HH1</c:v>
                </c:pt>
                <c:pt idx="2">
                  <c:v>CC-TLC</c:v>
                </c:pt>
                <c:pt idx="3">
                  <c:v>CC-TM1</c:v>
                </c:pt>
                <c:pt idx="4">
                  <c:v>CC-TT1</c:v>
                </c:pt>
                <c:pt idx="5">
                  <c:v>CC-TM3</c:v>
                </c:pt>
                <c:pt idx="6">
                  <c:v>CC-TM2</c:v>
                </c:pt>
                <c:pt idx="7">
                  <c:v>CC-BDX</c:v>
                </c:pt>
              </c:strCache>
            </c:strRef>
          </c:cat>
          <c:val>
            <c:numRef>
              <c:f>'MAX CAP.'!$G$21:$G$28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9-4643-B219-92CB91A72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8211696"/>
        <c:axId val="1018210256"/>
      </c:barChart>
      <c:catAx>
        <c:axId val="101821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0256"/>
        <c:crosses val="autoZero"/>
        <c:auto val="1"/>
        <c:lblAlgn val="ctr"/>
        <c:lblOffset val="100"/>
        <c:noMultiLvlLbl val="0"/>
      </c:catAx>
      <c:valAx>
        <c:axId val="1018210256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trụ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211696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ln>
                <a:noFill/>
              </a:ln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ln>
            <a:noFill/>
          </a:ln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CPLEX!$D$5</c:f>
              <c:strCache>
                <c:ptCount val="1"/>
                <c:pt idx="0">
                  <c:v>Trụ sạc 11kW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CPLEX!$D$19:$D$26</c:f>
              <c:numCache>
                <c:formatCode>General</c:formatCode>
                <c:ptCount val="8"/>
                <c:pt idx="0">
                  <c:v>42</c:v>
                </c:pt>
                <c:pt idx="1">
                  <c:v>75</c:v>
                </c:pt>
                <c:pt idx="2">
                  <c:v>65</c:v>
                </c:pt>
                <c:pt idx="3">
                  <c:v>66</c:v>
                </c:pt>
                <c:pt idx="4">
                  <c:v>66</c:v>
                </c:pt>
                <c:pt idx="5">
                  <c:v>66</c:v>
                </c:pt>
                <c:pt idx="6">
                  <c:v>54</c:v>
                </c:pt>
                <c:pt idx="7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9-4ED2-9EF2-5A5999123825}"/>
            </c:ext>
          </c:extLst>
        </c:ser>
        <c:ser>
          <c:idx val="1"/>
          <c:order val="1"/>
          <c:tx>
            <c:strRef>
              <c:f>CPLEX!$E$5</c:f>
              <c:strCache>
                <c:ptCount val="1"/>
                <c:pt idx="0">
                  <c:v>Trụ sạc 60kW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CPLEX!$E$19:$E$26</c:f>
              <c:numCache>
                <c:formatCode>General</c:formatCode>
                <c:ptCount val="8"/>
                <c:pt idx="0">
                  <c:v>77</c:v>
                </c:pt>
                <c:pt idx="1">
                  <c:v>17</c:v>
                </c:pt>
                <c:pt idx="2">
                  <c:v>15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11</c:v>
                </c:pt>
                <c:pt idx="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19-4ED2-9EF2-5A5999123825}"/>
            </c:ext>
          </c:extLst>
        </c:ser>
        <c:ser>
          <c:idx val="2"/>
          <c:order val="2"/>
          <c:tx>
            <c:strRef>
              <c:f>CPLEX!$F$5</c:f>
              <c:strCache>
                <c:ptCount val="1"/>
                <c:pt idx="0">
                  <c:v>Trụ sạc 150kW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CPLEX!$C$19:$C$26</c:f>
              <c:strCache>
                <c:ptCount val="8"/>
                <c:pt idx="0">
                  <c:v>CC-HH2</c:v>
                </c:pt>
                <c:pt idx="1">
                  <c:v>CC-TM1</c:v>
                </c:pt>
                <c:pt idx="2">
                  <c:v>CC-HH1</c:v>
                </c:pt>
                <c:pt idx="3">
                  <c:v>CC-TT1</c:v>
                </c:pt>
                <c:pt idx="4">
                  <c:v>CC-TM2</c:v>
                </c:pt>
                <c:pt idx="5">
                  <c:v>CC-TLC</c:v>
                </c:pt>
                <c:pt idx="6">
                  <c:v>CC-TM3</c:v>
                </c:pt>
                <c:pt idx="7">
                  <c:v>CC-BDX</c:v>
                </c:pt>
              </c:strCache>
            </c:strRef>
          </c:cat>
          <c:val>
            <c:numRef>
              <c:f>CPLEX!$F$19:$F$26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19-4ED2-9EF2-5A5999123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trụ sạc (trụ)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MATLAB!$D$5</c:f>
              <c:strCache>
                <c:ptCount val="1"/>
                <c:pt idx="0">
                  <c:v>Trụ sạc 11kW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MATLAB!$D$19:$D$26</c:f>
              <c:numCache>
                <c:formatCode>General</c:formatCode>
                <c:ptCount val="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13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9-47B7-885D-3BF50DDAE0CD}"/>
            </c:ext>
          </c:extLst>
        </c:ser>
        <c:ser>
          <c:idx val="1"/>
          <c:order val="1"/>
          <c:tx>
            <c:strRef>
              <c:f>MATLAB!$E$5</c:f>
              <c:strCache>
                <c:ptCount val="1"/>
                <c:pt idx="0">
                  <c:v>Trụ sạc 60kW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MATLAB!$E$19:$E$26</c:f>
              <c:numCache>
                <c:formatCode>General</c:formatCode>
                <c:ptCount val="8"/>
                <c:pt idx="0">
                  <c:v>80</c:v>
                </c:pt>
                <c:pt idx="1">
                  <c:v>75</c:v>
                </c:pt>
                <c:pt idx="2">
                  <c:v>37</c:v>
                </c:pt>
                <c:pt idx="3">
                  <c:v>21</c:v>
                </c:pt>
                <c:pt idx="4">
                  <c:v>25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9-47B7-885D-3BF50DDAE0CD}"/>
            </c:ext>
          </c:extLst>
        </c:ser>
        <c:ser>
          <c:idx val="2"/>
          <c:order val="2"/>
          <c:tx>
            <c:strRef>
              <c:f>MATLAB!$F$5</c:f>
              <c:strCache>
                <c:ptCount val="1"/>
                <c:pt idx="0">
                  <c:v>Trụ sạc 150kW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MATLAB!$C$19:$C$26</c:f>
              <c:strCache>
                <c:ptCount val="8"/>
                <c:pt idx="0">
                  <c:v>CC-TM1</c:v>
                </c:pt>
                <c:pt idx="1">
                  <c:v>CC-HH2</c:v>
                </c:pt>
                <c:pt idx="2">
                  <c:v>CC-TM2</c:v>
                </c:pt>
                <c:pt idx="3">
                  <c:v>CC-BDX</c:v>
                </c:pt>
                <c:pt idx="4">
                  <c:v>CC-TLC</c:v>
                </c:pt>
                <c:pt idx="5">
                  <c:v>CC-HH1</c:v>
                </c:pt>
                <c:pt idx="6">
                  <c:v>CC-TT1</c:v>
                </c:pt>
                <c:pt idx="7">
                  <c:v>CC-TM3</c:v>
                </c:pt>
              </c:strCache>
            </c:strRef>
          </c:cat>
          <c:val>
            <c:numRef>
              <c:f>MATLAB!$F$19:$F$26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9-47B7-885D-3BF50DDAE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3054864"/>
        <c:axId val="1073053904"/>
      </c:barChart>
      <c:catAx>
        <c:axId val="10730548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Trạm</a:t>
                </a:r>
                <a:r>
                  <a:rPr lang="en-AU" baseline="0"/>
                  <a:t> sạc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3904"/>
        <c:crosses val="autoZero"/>
        <c:auto val="1"/>
        <c:lblAlgn val="ctr"/>
        <c:lblOffset val="100"/>
        <c:noMultiLvlLbl val="0"/>
      </c:catAx>
      <c:valAx>
        <c:axId val="1073053904"/>
        <c:scaling>
          <c:orientation val="minMax"/>
          <c:max val="1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AU"/>
                  <a:t>Số</a:t>
                </a:r>
                <a:r>
                  <a:rPr lang="en-AU" baseline="0"/>
                  <a:t> lượng trụ sạc (trụ)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7305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3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1</xdr:row>
      <xdr:rowOff>52387</xdr:rowOff>
    </xdr:from>
    <xdr:to>
      <xdr:col>24</xdr:col>
      <xdr:colOff>333375</xdr:colOff>
      <xdr:row>28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5EB50-F68F-DEEB-994D-540BA5192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366712</xdr:colOff>
      <xdr:row>1</xdr:row>
      <xdr:rowOff>109537</xdr:rowOff>
    </xdr:from>
    <xdr:to>
      <xdr:col>23</xdr:col>
      <xdr:colOff>534352</xdr:colOff>
      <xdr:row>17</xdr:row>
      <xdr:rowOff>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4DF50-793C-C309-D0BD-45354799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33337</xdr:colOff>
      <xdr:row>4</xdr:row>
      <xdr:rowOff>623887</xdr:rowOff>
    </xdr:from>
    <xdr:to>
      <xdr:col>25</xdr:col>
      <xdr:colOff>200977</xdr:colOff>
      <xdr:row>21</xdr:row>
      <xdr:rowOff>124777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7ACD6-F3FB-46C8-8F1A-E6F896F86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241-E07F-42B9-A947-6B1FF4D9B39F}">
  <dimension ref="B3:M23"/>
  <sheetViews>
    <sheetView workbookViewId="0">
      <selection activeCell="I4" sqref="I4:I12"/>
    </sheetView>
  </sheetViews>
  <sheetFormatPr defaultRowHeight="15" x14ac:dyDescent="0.25"/>
  <cols>
    <col min="2" max="2" width="13.42578125" customWidth="1"/>
    <col min="3" max="3" width="15" customWidth="1"/>
    <col min="4" max="4" width="22.42578125" customWidth="1"/>
    <col min="5" max="5" width="22" customWidth="1"/>
    <col min="6" max="6" width="21.5703125" customWidth="1"/>
    <col min="7" max="7" width="20.42578125" customWidth="1"/>
    <col min="8" max="8" width="17" customWidth="1"/>
    <col min="11" max="11" width="10.85546875" bestFit="1" customWidth="1"/>
  </cols>
  <sheetData>
    <row r="3" spans="2:13" ht="16.5" x14ac:dyDescent="0.25">
      <c r="B3" s="9" t="s">
        <v>0</v>
      </c>
      <c r="C3" s="9"/>
      <c r="D3" s="9"/>
      <c r="E3" s="9"/>
      <c r="F3" s="9"/>
      <c r="G3" s="9"/>
      <c r="H3" s="9"/>
    </row>
    <row r="4" spans="2:13" ht="16.5" x14ac:dyDescent="0.25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5</v>
      </c>
      <c r="H4" s="10" t="s">
        <v>6</v>
      </c>
      <c r="I4" s="16" t="s">
        <v>15</v>
      </c>
    </row>
    <row r="5" spans="2:13" ht="16.5" x14ac:dyDescent="0.25">
      <c r="B5" s="11" t="s">
        <v>7</v>
      </c>
      <c r="C5" s="13">
        <f>C16/C$15</f>
        <v>174.49753378378375</v>
      </c>
      <c r="D5" s="13">
        <f>D16/D$15</f>
        <v>10.816696284329561</v>
      </c>
      <c r="E5" s="13">
        <f>E16/E$15</f>
        <v>7.6229999999999976</v>
      </c>
      <c r="F5" s="13">
        <f>F16/F$15</f>
        <v>6.1809693053311792</v>
      </c>
      <c r="G5" s="13">
        <f>G16/G$15</f>
        <v>4.3559999999999999</v>
      </c>
      <c r="H5" s="11">
        <v>0</v>
      </c>
      <c r="I5" s="17">
        <f>SUM(C5:G5)</f>
        <v>203.47419937344449</v>
      </c>
      <c r="K5" s="8">
        <v>1687.95</v>
      </c>
      <c r="M5">
        <f>K5*(1-0.32)</f>
        <v>1147.8059999999998</v>
      </c>
    </row>
    <row r="6" spans="2:13" ht="16.5" x14ac:dyDescent="0.25">
      <c r="B6" s="11" t="s">
        <v>8</v>
      </c>
      <c r="C6" s="13">
        <f>C17/C$15</f>
        <v>1739.628608108108</v>
      </c>
      <c r="D6" s="13">
        <f>D17/D$15</f>
        <v>107.83553150242324</v>
      </c>
      <c r="E6" s="13">
        <f>E17/E$15</f>
        <v>75.996425806451597</v>
      </c>
      <c r="F6" s="13">
        <f>F17/F$15</f>
        <v>61.620303715670431</v>
      </c>
      <c r="G6" s="13">
        <f>G17/G$15</f>
        <v>43.42652903225806</v>
      </c>
      <c r="H6" s="11">
        <v>0</v>
      </c>
      <c r="I6" s="17">
        <f>SUM(C6:G6)</f>
        <v>2028.5073981649111</v>
      </c>
      <c r="K6" s="8">
        <v>16827.78</v>
      </c>
      <c r="M6">
        <f t="shared" ref="M6:M12" si="0">K6*(1-0.32)</f>
        <v>11442.890399999998</v>
      </c>
    </row>
    <row r="7" spans="2:13" ht="17.25" customHeight="1" x14ac:dyDescent="0.25">
      <c r="B7" s="11" t="s">
        <v>9</v>
      </c>
      <c r="C7" s="13">
        <f>C18/C$15</f>
        <v>174.49753378378375</v>
      </c>
      <c r="D7" s="13">
        <f>D18/D$15</f>
        <v>10.816696284329561</v>
      </c>
      <c r="E7" s="13">
        <f>E18/E$15</f>
        <v>7.6229999999999976</v>
      </c>
      <c r="F7" s="13">
        <f>F18/F$15</f>
        <v>6.1809693053311792</v>
      </c>
      <c r="G7" s="13">
        <f>G18/G$15</f>
        <v>4.3559999999999999</v>
      </c>
      <c r="H7" s="11">
        <v>0</v>
      </c>
      <c r="I7" s="17">
        <f>SUM(C7:G7)</f>
        <v>203.47419937344449</v>
      </c>
      <c r="J7" s="8"/>
      <c r="K7" s="8">
        <v>1687.95</v>
      </c>
      <c r="M7">
        <f t="shared" si="0"/>
        <v>1147.8059999999998</v>
      </c>
    </row>
    <row r="8" spans="2:13" ht="16.5" x14ac:dyDescent="0.25">
      <c r="B8" s="11" t="s">
        <v>10</v>
      </c>
      <c r="C8" s="13">
        <f>C19/C$15</f>
        <v>120.4875</v>
      </c>
      <c r="D8" s="13">
        <f>D19/D$15</f>
        <v>7.4687399030694657</v>
      </c>
      <c r="E8" s="13">
        <f>E19/E$15</f>
        <v>5.2635483870967734</v>
      </c>
      <c r="F8" s="13">
        <f>F19/F$15</f>
        <v>4.2678513731825527</v>
      </c>
      <c r="G8" s="13">
        <f>G19/G$15</f>
        <v>3.007741935483871</v>
      </c>
      <c r="H8" s="11">
        <v>0</v>
      </c>
      <c r="I8" s="17">
        <f>SUM(C8:G8)</f>
        <v>140.49538159883267</v>
      </c>
      <c r="K8" s="8">
        <v>1165.5</v>
      </c>
      <c r="M8">
        <f t="shared" si="0"/>
        <v>792.54</v>
      </c>
    </row>
    <row r="9" spans="2:13" ht="16.5" x14ac:dyDescent="0.25">
      <c r="B9" s="11" t="s">
        <v>11</v>
      </c>
      <c r="C9" s="13">
        <f>C20/C$15</f>
        <v>136.82955405405406</v>
      </c>
      <c r="D9" s="13">
        <f>D20/D$15</f>
        <v>8.4817458266020456</v>
      </c>
      <c r="E9" s="13">
        <f>E20/E$15</f>
        <v>5.9774580645161279</v>
      </c>
      <c r="F9" s="13">
        <f>F20/F$15</f>
        <v>4.8467119009154551</v>
      </c>
      <c r="G9" s="13">
        <f>G20/G$15</f>
        <v>3.415690322580645</v>
      </c>
      <c r="H9" s="11">
        <v>0</v>
      </c>
      <c r="I9" s="17">
        <f>SUM(C9:G9)</f>
        <v>159.55116016866833</v>
      </c>
      <c r="K9" s="8">
        <v>1323.58</v>
      </c>
      <c r="M9">
        <f t="shared" si="0"/>
        <v>900.03439999999989</v>
      </c>
    </row>
    <row r="10" spans="2:13" s="15" customFormat="1" ht="16.5" x14ac:dyDescent="0.25">
      <c r="B10" s="14" t="s">
        <v>12</v>
      </c>
      <c r="C10" s="14">
        <v>43</v>
      </c>
      <c r="D10" s="14">
        <v>8</v>
      </c>
      <c r="E10" s="14">
        <v>6</v>
      </c>
      <c r="F10" s="14">
        <v>14</v>
      </c>
      <c r="G10" s="14">
        <v>10</v>
      </c>
      <c r="H10" s="14">
        <v>59</v>
      </c>
      <c r="I10" s="17">
        <f>SUM(C10:G10)</f>
        <v>81</v>
      </c>
      <c r="K10" s="8"/>
    </row>
    <row r="11" spans="2:13" ht="16.5" x14ac:dyDescent="0.25">
      <c r="B11" s="11" t="s">
        <v>13</v>
      </c>
      <c r="C11" s="13">
        <f>C22/C$15</f>
        <v>2575.3662972972975</v>
      </c>
      <c r="D11" s="13">
        <f>D22/D$15</f>
        <v>159.64096715131933</v>
      </c>
      <c r="E11" s="13">
        <f>E22/E$15</f>
        <v>112.50598709677419</v>
      </c>
      <c r="F11" s="13">
        <f>F22/F$15</f>
        <v>91.223409800753899</v>
      </c>
      <c r="G11" s="13">
        <f>G22/G$15</f>
        <v>64.289135483870965</v>
      </c>
      <c r="H11" s="11">
        <v>0</v>
      </c>
      <c r="I11" s="17">
        <f>SUM(C11:G11)</f>
        <v>3003.0257968300161</v>
      </c>
      <c r="K11" s="8">
        <v>24912.04</v>
      </c>
      <c r="M11">
        <f t="shared" si="0"/>
        <v>16940.1872</v>
      </c>
    </row>
    <row r="12" spans="2:13" ht="16.5" x14ac:dyDescent="0.25">
      <c r="B12" s="11" t="s">
        <v>14</v>
      </c>
      <c r="C12" s="13">
        <f>C23/C$15</f>
        <v>562.62338513513509</v>
      </c>
      <c r="D12" s="13">
        <f>D23/D$15</f>
        <v>34.875715131933219</v>
      </c>
      <c r="E12" s="13">
        <f>E23/E$15</f>
        <v>24.578445161290315</v>
      </c>
      <c r="F12" s="13">
        <f>F23/F$15</f>
        <v>19.928980075390413</v>
      </c>
      <c r="G12" s="13">
        <f>G23/G$15</f>
        <v>14.044825806451611</v>
      </c>
      <c r="H12" s="11">
        <v>0</v>
      </c>
      <c r="I12" s="17">
        <f>SUM(C12:G12)</f>
        <v>656.05135131020074</v>
      </c>
      <c r="K12" s="8">
        <v>5442.37</v>
      </c>
      <c r="M12">
        <f t="shared" si="0"/>
        <v>3700.8115999999995</v>
      </c>
    </row>
    <row r="14" spans="2:13" x14ac:dyDescent="0.25">
      <c r="C14">
        <v>0.45</v>
      </c>
      <c r="D14">
        <v>0.17499999999999999</v>
      </c>
      <c r="E14">
        <v>0.17499999999999999</v>
      </c>
      <c r="F14">
        <v>0.1</v>
      </c>
      <c r="G14">
        <v>0.1</v>
      </c>
      <c r="H14">
        <v>0</v>
      </c>
    </row>
    <row r="15" spans="2:13" x14ac:dyDescent="0.25">
      <c r="C15">
        <v>2.96</v>
      </c>
      <c r="D15">
        <v>18.57</v>
      </c>
      <c r="E15">
        <v>26.35</v>
      </c>
      <c r="F15">
        <v>18.57</v>
      </c>
      <c r="G15">
        <v>26.35</v>
      </c>
    </row>
    <row r="16" spans="2:13" x14ac:dyDescent="0.25">
      <c r="C16" s="12">
        <f>$M5*C$14</f>
        <v>516.51269999999988</v>
      </c>
      <c r="D16" s="12">
        <f t="shared" ref="D16:G16" si="1">$M5*D$14</f>
        <v>200.86604999999994</v>
      </c>
      <c r="E16" s="12">
        <f t="shared" si="1"/>
        <v>200.86604999999994</v>
      </c>
      <c r="F16" s="12">
        <f t="shared" si="1"/>
        <v>114.78059999999999</v>
      </c>
      <c r="G16" s="12">
        <f t="shared" si="1"/>
        <v>114.78059999999999</v>
      </c>
    </row>
    <row r="17" spans="3:7" x14ac:dyDescent="0.25">
      <c r="C17" s="12">
        <f t="shared" ref="C17:G17" si="2">$M6*C$14</f>
        <v>5149.3006799999994</v>
      </c>
      <c r="D17" s="12">
        <f t="shared" si="2"/>
        <v>2002.5058199999996</v>
      </c>
      <c r="E17" s="12">
        <f t="shared" si="2"/>
        <v>2002.5058199999996</v>
      </c>
      <c r="F17" s="12">
        <f t="shared" si="2"/>
        <v>1144.2890399999999</v>
      </c>
      <c r="G17" s="12">
        <f t="shared" si="2"/>
        <v>1144.2890399999999</v>
      </c>
    </row>
    <row r="18" spans="3:7" x14ac:dyDescent="0.25">
      <c r="C18" s="12">
        <f t="shared" ref="C18:G18" si="3">$M7*C$14</f>
        <v>516.51269999999988</v>
      </c>
      <c r="D18" s="12">
        <f t="shared" si="3"/>
        <v>200.86604999999994</v>
      </c>
      <c r="E18" s="12">
        <f t="shared" si="3"/>
        <v>200.86604999999994</v>
      </c>
      <c r="F18" s="12">
        <f t="shared" si="3"/>
        <v>114.78059999999999</v>
      </c>
      <c r="G18" s="12">
        <f t="shared" si="3"/>
        <v>114.78059999999999</v>
      </c>
    </row>
    <row r="19" spans="3:7" x14ac:dyDescent="0.25">
      <c r="C19" s="12">
        <f t="shared" ref="C19:G19" si="4">$M8*C$14</f>
        <v>356.64299999999997</v>
      </c>
      <c r="D19" s="12">
        <f t="shared" si="4"/>
        <v>138.69449999999998</v>
      </c>
      <c r="E19" s="12">
        <f t="shared" si="4"/>
        <v>138.69449999999998</v>
      </c>
      <c r="F19" s="12">
        <f t="shared" si="4"/>
        <v>79.254000000000005</v>
      </c>
      <c r="G19" s="12">
        <f t="shared" si="4"/>
        <v>79.254000000000005</v>
      </c>
    </row>
    <row r="20" spans="3:7" x14ac:dyDescent="0.25">
      <c r="C20" s="12">
        <f t="shared" ref="C20:G20" si="5">$M9*C$14</f>
        <v>405.01547999999997</v>
      </c>
      <c r="D20" s="12">
        <f t="shared" si="5"/>
        <v>157.50601999999998</v>
      </c>
      <c r="E20" s="12">
        <f t="shared" si="5"/>
        <v>157.50601999999998</v>
      </c>
      <c r="F20" s="12">
        <f t="shared" si="5"/>
        <v>90.003439999999998</v>
      </c>
      <c r="G20" s="12">
        <f t="shared" si="5"/>
        <v>90.003439999999998</v>
      </c>
    </row>
    <row r="21" spans="3:7" x14ac:dyDescent="0.25">
      <c r="C21" s="12">
        <f t="shared" ref="C21:G21" si="6">$M10*C$14</f>
        <v>0</v>
      </c>
      <c r="D21" s="12">
        <f t="shared" si="6"/>
        <v>0</v>
      </c>
      <c r="E21" s="12">
        <f t="shared" si="6"/>
        <v>0</v>
      </c>
      <c r="F21" s="12">
        <f t="shared" si="6"/>
        <v>0</v>
      </c>
      <c r="G21" s="12">
        <f t="shared" si="6"/>
        <v>0</v>
      </c>
    </row>
    <row r="22" spans="3:7" x14ac:dyDescent="0.25">
      <c r="C22" s="12">
        <f t="shared" ref="C22:G22" si="7">$M11*C$14</f>
        <v>7623.0842400000001</v>
      </c>
      <c r="D22" s="12">
        <f t="shared" si="7"/>
        <v>2964.5327600000001</v>
      </c>
      <c r="E22" s="12">
        <f t="shared" si="7"/>
        <v>2964.5327600000001</v>
      </c>
      <c r="F22" s="12">
        <f t="shared" si="7"/>
        <v>1694.01872</v>
      </c>
      <c r="G22" s="12">
        <f t="shared" si="7"/>
        <v>1694.01872</v>
      </c>
    </row>
    <row r="23" spans="3:7" x14ac:dyDescent="0.25">
      <c r="C23" s="12">
        <f t="shared" ref="C23:G23" si="8">$M12*C$14</f>
        <v>1665.3652199999999</v>
      </c>
      <c r="D23" s="12">
        <f t="shared" si="8"/>
        <v>647.64202999999986</v>
      </c>
      <c r="E23" s="12">
        <f t="shared" si="8"/>
        <v>647.64202999999986</v>
      </c>
      <c r="F23" s="12">
        <f t="shared" si="8"/>
        <v>370.08115999999995</v>
      </c>
      <c r="G23" s="12">
        <f t="shared" si="8"/>
        <v>370.08115999999995</v>
      </c>
    </row>
  </sheetData>
  <mergeCells count="1">
    <mergeCell ref="B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B237-34DF-45CF-AFB9-5405A02806FF}">
  <dimension ref="D5:K28"/>
  <sheetViews>
    <sheetView zoomScale="70" zoomScaleNormal="70" workbookViewId="0">
      <selection activeCell="L39" sqref="L39"/>
    </sheetView>
  </sheetViews>
  <sheetFormatPr defaultRowHeight="15" x14ac:dyDescent="0.25"/>
  <sheetData>
    <row r="5" spans="4:11" x14ac:dyDescent="0.25">
      <c r="D5" t="s">
        <v>0</v>
      </c>
    </row>
    <row r="6" spans="4:11" ht="33.75" thickBot="1" x14ac:dyDescent="0.3">
      <c r="D6" t="s">
        <v>1</v>
      </c>
      <c r="E6" s="2" t="s">
        <v>18</v>
      </c>
      <c r="F6" s="2" t="s">
        <v>19</v>
      </c>
      <c r="G6" s="2" t="s">
        <v>20</v>
      </c>
      <c r="H6" t="s">
        <v>5</v>
      </c>
      <c r="I6" t="s">
        <v>5</v>
      </c>
      <c r="J6" t="s">
        <v>6</v>
      </c>
      <c r="K6" s="16" t="s">
        <v>15</v>
      </c>
    </row>
    <row r="7" spans="4:11" x14ac:dyDescent="0.25">
      <c r="D7" t="s">
        <v>13</v>
      </c>
      <c r="E7" s="17">
        <v>2575.3662972972975</v>
      </c>
      <c r="F7" s="17">
        <v>159.64096715131933</v>
      </c>
      <c r="G7" s="17">
        <v>112.50598709677419</v>
      </c>
      <c r="H7" s="17">
        <v>91.223409800753899</v>
      </c>
      <c r="I7" s="17">
        <v>64.289135483870965</v>
      </c>
      <c r="J7" s="17">
        <v>0</v>
      </c>
      <c r="K7" s="17">
        <f>SUM(E7:I7)</f>
        <v>3003.0257968300161</v>
      </c>
    </row>
    <row r="8" spans="4:11" x14ac:dyDescent="0.25">
      <c r="D8" t="s">
        <v>8</v>
      </c>
      <c r="E8" s="17">
        <v>1739.628608108108</v>
      </c>
      <c r="F8" s="17">
        <v>107.83553150242324</v>
      </c>
      <c r="G8" s="17">
        <v>75.996425806451597</v>
      </c>
      <c r="H8" s="17">
        <v>61.620303715670431</v>
      </c>
      <c r="I8" s="17">
        <v>43.42652903225806</v>
      </c>
      <c r="J8" s="17">
        <v>0</v>
      </c>
      <c r="K8" s="17">
        <f>SUM(E8:I8)</f>
        <v>2028.5073981649111</v>
      </c>
    </row>
    <row r="9" spans="4:11" x14ac:dyDescent="0.25">
      <c r="D9" t="s">
        <v>14</v>
      </c>
      <c r="E9" s="17">
        <v>562.62338513513509</v>
      </c>
      <c r="F9" s="17">
        <v>34.875715131933219</v>
      </c>
      <c r="G9" s="17">
        <v>24.578445161290315</v>
      </c>
      <c r="H9" s="17">
        <v>19.928980075390413</v>
      </c>
      <c r="I9" s="17">
        <v>14.044825806451611</v>
      </c>
      <c r="J9" s="17">
        <v>0</v>
      </c>
      <c r="K9" s="17">
        <f>SUM(E9:I9)</f>
        <v>656.05135131020074</v>
      </c>
    </row>
    <row r="10" spans="4:11" x14ac:dyDescent="0.25">
      <c r="D10" t="s">
        <v>7</v>
      </c>
      <c r="E10" s="17">
        <v>174.49753378378375</v>
      </c>
      <c r="F10" s="17">
        <v>10.816696284329561</v>
      </c>
      <c r="G10" s="17">
        <v>7.6229999999999976</v>
      </c>
      <c r="H10" s="17">
        <v>6.1809693053311792</v>
      </c>
      <c r="I10" s="17">
        <v>4.3559999999999999</v>
      </c>
      <c r="J10" s="17">
        <v>0</v>
      </c>
      <c r="K10" s="17">
        <f>SUM(E10:I10)</f>
        <v>203.47419937344449</v>
      </c>
    </row>
    <row r="11" spans="4:11" x14ac:dyDescent="0.25">
      <c r="D11" t="s">
        <v>9</v>
      </c>
      <c r="E11" s="17">
        <v>174.49753378378375</v>
      </c>
      <c r="F11" s="17">
        <v>10.816696284329561</v>
      </c>
      <c r="G11" s="17">
        <v>7.6229999999999976</v>
      </c>
      <c r="H11" s="17">
        <v>6.1809693053311792</v>
      </c>
      <c r="I11" s="17">
        <v>4.3559999999999999</v>
      </c>
      <c r="J11" s="17">
        <v>0</v>
      </c>
      <c r="K11" s="17">
        <f>SUM(E11:I11)</f>
        <v>203.47419937344449</v>
      </c>
    </row>
    <row r="12" spans="4:11" x14ac:dyDescent="0.25">
      <c r="D12" t="s">
        <v>11</v>
      </c>
      <c r="E12" s="17">
        <v>136.82955405405406</v>
      </c>
      <c r="F12" s="17">
        <v>8.4817458266020456</v>
      </c>
      <c r="G12" s="17">
        <v>5.9774580645161279</v>
      </c>
      <c r="H12" s="17">
        <v>4.8467119009154551</v>
      </c>
      <c r="I12" s="17">
        <v>3.415690322580645</v>
      </c>
      <c r="J12" s="17">
        <v>0</v>
      </c>
      <c r="K12" s="17">
        <f>SUM(E12:I12)</f>
        <v>159.55116016866833</v>
      </c>
    </row>
    <row r="13" spans="4:11" x14ac:dyDescent="0.25">
      <c r="D13" t="s">
        <v>10</v>
      </c>
      <c r="E13" s="17">
        <v>120.4875</v>
      </c>
      <c r="F13" s="17">
        <v>7.4687399030694657</v>
      </c>
      <c r="G13" s="17">
        <v>5.2635483870967734</v>
      </c>
      <c r="H13" s="17">
        <v>4.2678513731825527</v>
      </c>
      <c r="I13" s="17">
        <v>3.007741935483871</v>
      </c>
      <c r="J13" s="17">
        <v>0</v>
      </c>
      <c r="K13" s="17">
        <f>SUM(E13:I13)</f>
        <v>140.49538159883267</v>
      </c>
    </row>
    <row r="14" spans="4:11" x14ac:dyDescent="0.25">
      <c r="D14" t="s">
        <v>12</v>
      </c>
      <c r="E14" s="17">
        <v>43</v>
      </c>
      <c r="F14" s="17">
        <v>8</v>
      </c>
      <c r="G14" s="17">
        <v>6</v>
      </c>
      <c r="H14" s="17">
        <v>14</v>
      </c>
      <c r="I14" s="17">
        <v>10</v>
      </c>
      <c r="J14" s="17">
        <v>59</v>
      </c>
      <c r="K14" s="17">
        <f>SUM(E14:J14)</f>
        <v>140</v>
      </c>
    </row>
    <row r="20" spans="4:7" ht="33.75" thickBot="1" x14ac:dyDescent="0.3">
      <c r="D20" s="1" t="s">
        <v>1</v>
      </c>
      <c r="E20" s="2" t="s">
        <v>18</v>
      </c>
      <c r="F20" s="2" t="s">
        <v>19</v>
      </c>
      <c r="G20" s="2" t="s">
        <v>20</v>
      </c>
    </row>
    <row r="21" spans="4:7" x14ac:dyDescent="0.25">
      <c r="D21" t="s">
        <v>13</v>
      </c>
      <c r="E21" s="17">
        <v>2575.3662972972975</v>
      </c>
      <c r="F21" s="17">
        <f>F7+G7+H7+I7</f>
        <v>427.65949953271831</v>
      </c>
      <c r="G21" s="17">
        <f>J7</f>
        <v>0</v>
      </c>
    </row>
    <row r="22" spans="4:7" x14ac:dyDescent="0.25">
      <c r="D22" t="s">
        <v>8</v>
      </c>
      <c r="E22" s="17">
        <v>1739.628608108108</v>
      </c>
      <c r="F22" s="17">
        <f t="shared" ref="F22:F28" si="0">F8+G8+H8+I8</f>
        <v>288.87879005680338</v>
      </c>
      <c r="G22" s="17">
        <f t="shared" ref="G22:G28" si="1">J8</f>
        <v>0</v>
      </c>
    </row>
    <row r="23" spans="4:7" x14ac:dyDescent="0.25">
      <c r="D23" t="s">
        <v>14</v>
      </c>
      <c r="E23" s="17">
        <v>562.62338513513509</v>
      </c>
      <c r="F23" s="17">
        <f t="shared" si="0"/>
        <v>93.427966175065563</v>
      </c>
      <c r="G23" s="17">
        <f t="shared" si="1"/>
        <v>0</v>
      </c>
    </row>
    <row r="24" spans="4:7" x14ac:dyDescent="0.25">
      <c r="D24" t="s">
        <v>7</v>
      </c>
      <c r="E24" s="17">
        <v>174.49753378378375</v>
      </c>
      <c r="F24" s="17">
        <f t="shared" si="0"/>
        <v>28.976665589660733</v>
      </c>
      <c r="G24" s="17">
        <f t="shared" si="1"/>
        <v>0</v>
      </c>
    </row>
    <row r="25" spans="4:7" x14ac:dyDescent="0.25">
      <c r="D25" t="s">
        <v>9</v>
      </c>
      <c r="E25" s="17">
        <v>174.49753378378375</v>
      </c>
      <c r="F25" s="17">
        <f t="shared" si="0"/>
        <v>28.976665589660733</v>
      </c>
      <c r="G25" s="17">
        <f t="shared" si="1"/>
        <v>0</v>
      </c>
    </row>
    <row r="26" spans="4:7" x14ac:dyDescent="0.25">
      <c r="D26" t="s">
        <v>11</v>
      </c>
      <c r="E26" s="17">
        <v>136.82955405405406</v>
      </c>
      <c r="F26" s="17">
        <f t="shared" si="0"/>
        <v>22.721606114614275</v>
      </c>
      <c r="G26" s="17">
        <f t="shared" si="1"/>
        <v>0</v>
      </c>
    </row>
    <row r="27" spans="4:7" x14ac:dyDescent="0.25">
      <c r="D27" t="s">
        <v>10</v>
      </c>
      <c r="E27" s="17">
        <v>120.4875</v>
      </c>
      <c r="F27" s="17">
        <f t="shared" si="0"/>
        <v>20.007881598832661</v>
      </c>
      <c r="G27" s="17">
        <f t="shared" si="1"/>
        <v>0</v>
      </c>
    </row>
    <row r="28" spans="4:7" x14ac:dyDescent="0.25">
      <c r="D28" t="s">
        <v>12</v>
      </c>
      <c r="E28" s="17">
        <v>43</v>
      </c>
      <c r="F28" s="17">
        <f t="shared" si="0"/>
        <v>38</v>
      </c>
      <c r="G28" s="17">
        <f t="shared" si="1"/>
        <v>59</v>
      </c>
    </row>
  </sheetData>
  <sortState xmlns:xlrd2="http://schemas.microsoft.com/office/spreadsheetml/2017/richdata2" ref="D7:K14">
    <sortCondition descending="1" ref="K7:K14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44E3E-5415-4AF8-8D92-A8C16FDC0131}">
  <dimension ref="C3:J26"/>
  <sheetViews>
    <sheetView zoomScale="70" zoomScaleNormal="70" workbookViewId="0">
      <selection activeCell="Q21" sqref="Q21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5" t="s">
        <v>16</v>
      </c>
      <c r="D4" s="6"/>
      <c r="E4" s="6"/>
      <c r="F4" s="6"/>
      <c r="G4" s="6"/>
      <c r="H4" s="6"/>
      <c r="I4" s="7"/>
    </row>
    <row r="5" spans="3:10" ht="50.25" thickBot="1" x14ac:dyDescent="0.3">
      <c r="C5" s="1" t="s">
        <v>1</v>
      </c>
      <c r="D5" s="2" t="s">
        <v>18</v>
      </c>
      <c r="E5" s="2" t="s">
        <v>19</v>
      </c>
      <c r="F5" s="2" t="s">
        <v>20</v>
      </c>
      <c r="G5" s="2" t="s">
        <v>5</v>
      </c>
      <c r="H5" s="2" t="s">
        <v>5</v>
      </c>
      <c r="I5" s="2" t="s">
        <v>6</v>
      </c>
      <c r="J5" s="18" t="s">
        <v>17</v>
      </c>
    </row>
    <row r="6" spans="3:10" ht="33.75" thickBot="1" x14ac:dyDescent="0.3">
      <c r="C6" s="3" t="s">
        <v>13</v>
      </c>
      <c r="D6" s="4">
        <v>42</v>
      </c>
      <c r="E6" s="4">
        <v>14</v>
      </c>
      <c r="F6" s="4">
        <v>7</v>
      </c>
      <c r="G6" s="4">
        <v>28</v>
      </c>
      <c r="H6" s="4">
        <v>28</v>
      </c>
      <c r="I6" s="4">
        <v>0</v>
      </c>
      <c r="J6">
        <f>SUM(D6:I6)</f>
        <v>119</v>
      </c>
    </row>
    <row r="7" spans="3:10" ht="33.75" thickBot="1" x14ac:dyDescent="0.3">
      <c r="C7" s="3" t="s">
        <v>7</v>
      </c>
      <c r="D7" s="4">
        <v>75</v>
      </c>
      <c r="E7" s="4">
        <v>13</v>
      </c>
      <c r="F7" s="4">
        <v>4</v>
      </c>
      <c r="G7" s="4">
        <v>0</v>
      </c>
      <c r="H7" s="4">
        <v>0</v>
      </c>
      <c r="I7" s="4">
        <v>0</v>
      </c>
      <c r="J7">
        <f>SUM(D7:I7)</f>
        <v>92</v>
      </c>
    </row>
    <row r="8" spans="3:10" ht="17.25" thickBot="1" x14ac:dyDescent="0.3">
      <c r="C8" s="3" t="s">
        <v>8</v>
      </c>
      <c r="D8" s="4">
        <v>65</v>
      </c>
      <c r="E8" s="4">
        <v>11</v>
      </c>
      <c r="F8" s="4">
        <v>4</v>
      </c>
      <c r="G8" s="4">
        <v>0</v>
      </c>
      <c r="H8" s="4">
        <v>0</v>
      </c>
      <c r="I8" s="4">
        <v>0</v>
      </c>
      <c r="J8">
        <f>SUM(D8:I8)</f>
        <v>80</v>
      </c>
    </row>
    <row r="9" spans="3:10" ht="33.75" thickBot="1" x14ac:dyDescent="0.3">
      <c r="C9" s="3" t="s">
        <v>9</v>
      </c>
      <c r="D9" s="4">
        <v>66</v>
      </c>
      <c r="E9" s="4">
        <v>11</v>
      </c>
      <c r="F9" s="4">
        <v>3</v>
      </c>
      <c r="G9" s="4">
        <v>0</v>
      </c>
      <c r="H9" s="4">
        <v>0</v>
      </c>
      <c r="I9" s="4">
        <v>0</v>
      </c>
      <c r="J9">
        <f>SUM(D9:I9)</f>
        <v>80</v>
      </c>
    </row>
    <row r="10" spans="3:10" ht="33.75" thickBot="1" x14ac:dyDescent="0.3">
      <c r="C10" s="3" t="s">
        <v>10</v>
      </c>
      <c r="D10" s="4">
        <v>66</v>
      </c>
      <c r="E10" s="4">
        <v>10</v>
      </c>
      <c r="F10" s="4">
        <v>4</v>
      </c>
      <c r="G10" s="4">
        <v>0</v>
      </c>
      <c r="H10" s="4">
        <v>0</v>
      </c>
      <c r="I10" s="4">
        <v>0</v>
      </c>
      <c r="J10">
        <f>SUM(D10:I10)</f>
        <v>80</v>
      </c>
    </row>
    <row r="11" spans="3:10" ht="33.75" thickBot="1" x14ac:dyDescent="0.3">
      <c r="C11" s="3" t="s">
        <v>14</v>
      </c>
      <c r="D11" s="4">
        <v>66</v>
      </c>
      <c r="E11" s="4">
        <v>10</v>
      </c>
      <c r="F11" s="4">
        <v>4</v>
      </c>
      <c r="G11" s="4">
        <v>0</v>
      </c>
      <c r="H11" s="4">
        <v>0</v>
      </c>
      <c r="I11" s="4">
        <v>0</v>
      </c>
      <c r="J11">
        <f>SUM(D11:I11)</f>
        <v>80</v>
      </c>
    </row>
    <row r="12" spans="3:10" ht="33.75" thickBot="1" x14ac:dyDescent="0.3">
      <c r="C12" s="3" t="s">
        <v>11</v>
      </c>
      <c r="D12" s="4">
        <v>54</v>
      </c>
      <c r="E12" s="4">
        <v>7</v>
      </c>
      <c r="F12" s="4">
        <v>4</v>
      </c>
      <c r="G12" s="4">
        <v>0</v>
      </c>
      <c r="H12" s="4">
        <v>0</v>
      </c>
      <c r="I12" s="4">
        <v>0</v>
      </c>
      <c r="J12">
        <f>SUM(D12:I12)</f>
        <v>65</v>
      </c>
    </row>
    <row r="13" spans="3:10" ht="33.75" thickBot="1" x14ac:dyDescent="0.3">
      <c r="C13" s="3" t="s">
        <v>12</v>
      </c>
      <c r="D13" s="4">
        <v>40</v>
      </c>
      <c r="E13" s="4">
        <v>6</v>
      </c>
      <c r="F13" s="4">
        <v>2</v>
      </c>
      <c r="G13" s="4">
        <v>0</v>
      </c>
      <c r="H13" s="4">
        <v>0</v>
      </c>
      <c r="I13" s="4">
        <v>10</v>
      </c>
      <c r="J13">
        <f>SUM(D13:I13)</f>
        <v>58</v>
      </c>
    </row>
    <row r="18" spans="3:6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</row>
    <row r="19" spans="3:6" ht="33.75" thickBot="1" x14ac:dyDescent="0.3">
      <c r="C19" s="3" t="s">
        <v>13</v>
      </c>
      <c r="D19" s="4">
        <v>42</v>
      </c>
      <c r="E19" s="4">
        <f>E6+F6+G6+H6</f>
        <v>77</v>
      </c>
      <c r="F19" s="4">
        <f>I6</f>
        <v>0</v>
      </c>
    </row>
    <row r="20" spans="3:6" ht="33.75" thickBot="1" x14ac:dyDescent="0.3">
      <c r="C20" s="3" t="s">
        <v>7</v>
      </c>
      <c r="D20" s="4">
        <v>75</v>
      </c>
      <c r="E20" s="4">
        <f t="shared" ref="E20:E26" si="0">E7+F7+G7+H7</f>
        <v>17</v>
      </c>
      <c r="F20" s="4">
        <f t="shared" ref="F20:F26" si="1">I7</f>
        <v>0</v>
      </c>
    </row>
    <row r="21" spans="3:6" ht="33.75" thickBot="1" x14ac:dyDescent="0.3">
      <c r="C21" s="3" t="s">
        <v>8</v>
      </c>
      <c r="D21" s="4">
        <v>65</v>
      </c>
      <c r="E21" s="4">
        <f t="shared" si="0"/>
        <v>15</v>
      </c>
      <c r="F21" s="4">
        <f t="shared" si="1"/>
        <v>0</v>
      </c>
    </row>
    <row r="22" spans="3:6" ht="17.25" thickBot="1" x14ac:dyDescent="0.3">
      <c r="C22" s="3" t="s">
        <v>9</v>
      </c>
      <c r="D22" s="4">
        <v>66</v>
      </c>
      <c r="E22" s="4">
        <f t="shared" si="0"/>
        <v>14</v>
      </c>
      <c r="F22" s="4">
        <f t="shared" si="1"/>
        <v>0</v>
      </c>
    </row>
    <row r="23" spans="3:6" ht="33.75" thickBot="1" x14ac:dyDescent="0.3">
      <c r="C23" s="3" t="s">
        <v>10</v>
      </c>
      <c r="D23" s="4">
        <v>66</v>
      </c>
      <c r="E23" s="4">
        <f t="shared" si="0"/>
        <v>14</v>
      </c>
      <c r="F23" s="4">
        <f t="shared" si="1"/>
        <v>0</v>
      </c>
    </row>
    <row r="24" spans="3:6" ht="33.75" thickBot="1" x14ac:dyDescent="0.3">
      <c r="C24" s="3" t="s">
        <v>14</v>
      </c>
      <c r="D24" s="4">
        <v>66</v>
      </c>
      <c r="E24" s="4">
        <f t="shared" si="0"/>
        <v>14</v>
      </c>
      <c r="F24" s="4">
        <f t="shared" si="1"/>
        <v>0</v>
      </c>
    </row>
    <row r="25" spans="3:6" ht="33.75" thickBot="1" x14ac:dyDescent="0.3">
      <c r="C25" s="3" t="s">
        <v>11</v>
      </c>
      <c r="D25" s="4">
        <v>54</v>
      </c>
      <c r="E25" s="4">
        <f t="shared" si="0"/>
        <v>11</v>
      </c>
      <c r="F25" s="4">
        <f t="shared" si="1"/>
        <v>0</v>
      </c>
    </row>
    <row r="26" spans="3:6" ht="33.75" thickBot="1" x14ac:dyDescent="0.3">
      <c r="C26" s="3" t="s">
        <v>12</v>
      </c>
      <c r="D26" s="4">
        <v>40</v>
      </c>
      <c r="E26" s="4">
        <f t="shared" si="0"/>
        <v>8</v>
      </c>
      <c r="F26" s="4">
        <f t="shared" si="1"/>
        <v>10</v>
      </c>
    </row>
  </sheetData>
  <sortState xmlns:xlrd2="http://schemas.microsoft.com/office/spreadsheetml/2017/richdata2" ref="C6:J13">
    <sortCondition descending="1" ref="J6:J13"/>
  </sortState>
  <mergeCells count="1">
    <mergeCell ref="C4:I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FF1DA-52DF-478A-848F-4DC4B5132691}">
  <dimension ref="C3:J26"/>
  <sheetViews>
    <sheetView tabSelected="1" zoomScaleNormal="100" workbookViewId="0">
      <selection activeCell="I7" sqref="I7"/>
    </sheetView>
  </sheetViews>
  <sheetFormatPr defaultRowHeight="15" x14ac:dyDescent="0.25"/>
  <sheetData>
    <row r="3" spans="3:10" ht="15.75" thickBot="1" x14ac:dyDescent="0.3"/>
    <row r="4" spans="3:10" ht="17.25" thickBot="1" x14ac:dyDescent="0.3">
      <c r="C4" s="5" t="s">
        <v>16</v>
      </c>
      <c r="D4" s="6"/>
      <c r="E4" s="6"/>
      <c r="F4" s="6"/>
      <c r="G4" s="6"/>
      <c r="H4" s="6"/>
      <c r="I4" s="7"/>
    </row>
    <row r="5" spans="3:10" ht="50.25" thickBot="1" x14ac:dyDescent="0.3">
      <c r="C5" s="1" t="s">
        <v>1</v>
      </c>
      <c r="D5" s="2" t="s">
        <v>18</v>
      </c>
      <c r="E5" s="2" t="s">
        <v>19</v>
      </c>
      <c r="F5" s="2" t="s">
        <v>20</v>
      </c>
      <c r="G5" s="2" t="s">
        <v>5</v>
      </c>
      <c r="H5" s="2" t="s">
        <v>5</v>
      </c>
      <c r="I5" s="2" t="s">
        <v>6</v>
      </c>
      <c r="J5" s="18" t="s">
        <v>17</v>
      </c>
    </row>
    <row r="6" spans="3:10" ht="33.75" thickBot="1" x14ac:dyDescent="0.3">
      <c r="C6" s="3" t="s">
        <v>13</v>
      </c>
      <c r="D6" s="4">
        <v>42</v>
      </c>
      <c r="E6" s="4">
        <v>14</v>
      </c>
      <c r="F6" s="4">
        <v>7</v>
      </c>
      <c r="G6" s="4">
        <v>28</v>
      </c>
      <c r="H6" s="4">
        <v>28</v>
      </c>
      <c r="I6" s="4">
        <v>0</v>
      </c>
      <c r="J6">
        <f>SUM(D6:I6)</f>
        <v>119</v>
      </c>
    </row>
    <row r="7" spans="3:10" ht="33.75" thickBot="1" x14ac:dyDescent="0.3">
      <c r="C7" s="3" t="s">
        <v>7</v>
      </c>
      <c r="D7" s="4">
        <v>75</v>
      </c>
      <c r="E7" s="4">
        <v>13</v>
      </c>
      <c r="F7" s="4">
        <v>4</v>
      </c>
      <c r="G7" s="4">
        <v>0</v>
      </c>
      <c r="H7" s="4">
        <v>0</v>
      </c>
      <c r="I7" s="4">
        <v>0</v>
      </c>
      <c r="J7">
        <f>SUM(D7:I7)</f>
        <v>92</v>
      </c>
    </row>
    <row r="8" spans="3:10" ht="33.75" thickBot="1" x14ac:dyDescent="0.3">
      <c r="C8" s="3" t="s">
        <v>8</v>
      </c>
      <c r="D8" s="4">
        <v>65</v>
      </c>
      <c r="E8" s="4">
        <v>11</v>
      </c>
      <c r="F8" s="4">
        <v>4</v>
      </c>
      <c r="G8" s="4">
        <v>0</v>
      </c>
      <c r="H8" s="4">
        <v>0</v>
      </c>
      <c r="I8" s="4">
        <v>0</v>
      </c>
      <c r="J8">
        <f>SUM(D8:I8)</f>
        <v>80</v>
      </c>
    </row>
    <row r="9" spans="3:10" ht="17.25" thickBot="1" x14ac:dyDescent="0.3">
      <c r="C9" s="3" t="s">
        <v>9</v>
      </c>
      <c r="D9" s="4">
        <v>66</v>
      </c>
      <c r="E9" s="4">
        <v>11</v>
      </c>
      <c r="F9" s="4">
        <v>3</v>
      </c>
      <c r="G9" s="4">
        <v>0</v>
      </c>
      <c r="H9" s="4">
        <v>0</v>
      </c>
      <c r="I9" s="4">
        <v>0</v>
      </c>
      <c r="J9">
        <f>SUM(D9:I9)</f>
        <v>80</v>
      </c>
    </row>
    <row r="10" spans="3:10" ht="33.75" thickBot="1" x14ac:dyDescent="0.3">
      <c r="C10" s="3" t="s">
        <v>10</v>
      </c>
      <c r="D10" s="4">
        <v>66</v>
      </c>
      <c r="E10" s="4">
        <v>10</v>
      </c>
      <c r="F10" s="4">
        <v>4</v>
      </c>
      <c r="G10" s="4">
        <v>0</v>
      </c>
      <c r="H10" s="4">
        <v>0</v>
      </c>
      <c r="I10" s="4">
        <v>0</v>
      </c>
      <c r="J10">
        <f>SUM(D10:I10)</f>
        <v>80</v>
      </c>
    </row>
    <row r="11" spans="3:10" ht="33.75" thickBot="1" x14ac:dyDescent="0.3">
      <c r="C11" s="3" t="s">
        <v>14</v>
      </c>
      <c r="D11" s="4">
        <v>66</v>
      </c>
      <c r="E11" s="4">
        <v>10</v>
      </c>
      <c r="F11" s="4">
        <v>4</v>
      </c>
      <c r="G11" s="4">
        <v>0</v>
      </c>
      <c r="H11" s="4">
        <v>0</v>
      </c>
      <c r="I11" s="4">
        <v>0</v>
      </c>
      <c r="J11">
        <f>SUM(D11:I11)</f>
        <v>80</v>
      </c>
    </row>
    <row r="12" spans="3:10" ht="33.75" thickBot="1" x14ac:dyDescent="0.3">
      <c r="C12" s="3" t="s">
        <v>11</v>
      </c>
      <c r="D12" s="4">
        <v>54</v>
      </c>
      <c r="E12" s="4">
        <v>7</v>
      </c>
      <c r="F12" s="4">
        <v>4</v>
      </c>
      <c r="G12" s="4">
        <v>0</v>
      </c>
      <c r="H12" s="4">
        <v>0</v>
      </c>
      <c r="I12" s="4">
        <v>0</v>
      </c>
      <c r="J12">
        <f>SUM(D12:I12)</f>
        <v>65</v>
      </c>
    </row>
    <row r="13" spans="3:10" ht="33.75" thickBot="1" x14ac:dyDescent="0.3">
      <c r="C13" s="3" t="s">
        <v>12</v>
      </c>
      <c r="D13" s="4">
        <v>40</v>
      </c>
      <c r="E13" s="4">
        <v>6</v>
      </c>
      <c r="F13" s="4">
        <v>2</v>
      </c>
      <c r="G13" s="4">
        <v>0</v>
      </c>
      <c r="H13" s="4">
        <v>0</v>
      </c>
      <c r="I13" s="4">
        <v>10</v>
      </c>
      <c r="J13">
        <f>SUM(D13:I13)</f>
        <v>58</v>
      </c>
    </row>
    <row r="18" spans="3:7" ht="33.75" thickBot="1" x14ac:dyDescent="0.3">
      <c r="C18" s="1" t="s">
        <v>1</v>
      </c>
      <c r="D18" s="2" t="s">
        <v>18</v>
      </c>
      <c r="E18" s="2" t="s">
        <v>19</v>
      </c>
      <c r="F18" s="2" t="s">
        <v>20</v>
      </c>
      <c r="G18" s="18" t="s">
        <v>21</v>
      </c>
    </row>
    <row r="19" spans="3:7" x14ac:dyDescent="0.25">
      <c r="C19" t="s">
        <v>7</v>
      </c>
      <c r="D19">
        <v>25</v>
      </c>
      <c r="E19">
        <v>80</v>
      </c>
      <c r="F19">
        <v>0</v>
      </c>
      <c r="G19">
        <f>SUM(D19:F19)</f>
        <v>105</v>
      </c>
    </row>
    <row r="20" spans="3:7" x14ac:dyDescent="0.25">
      <c r="C20" t="s">
        <v>13</v>
      </c>
      <c r="D20">
        <v>25</v>
      </c>
      <c r="E20">
        <v>75</v>
      </c>
      <c r="F20">
        <v>0</v>
      </c>
      <c r="G20">
        <f>SUM(D20:F20)</f>
        <v>100</v>
      </c>
    </row>
    <row r="21" spans="3:7" x14ac:dyDescent="0.25">
      <c r="C21" t="s">
        <v>10</v>
      </c>
      <c r="D21">
        <v>25</v>
      </c>
      <c r="E21">
        <v>37</v>
      </c>
      <c r="F21">
        <v>0</v>
      </c>
      <c r="G21">
        <f>SUM(D21:F21)</f>
        <v>62</v>
      </c>
    </row>
    <row r="22" spans="3:7" x14ac:dyDescent="0.25">
      <c r="C22" t="s">
        <v>12</v>
      </c>
      <c r="D22">
        <v>13</v>
      </c>
      <c r="E22">
        <v>21</v>
      </c>
      <c r="F22">
        <v>2</v>
      </c>
      <c r="G22">
        <f>SUM(D22:F22)</f>
        <v>36</v>
      </c>
    </row>
    <row r="23" spans="3:7" x14ac:dyDescent="0.25">
      <c r="C23" t="s">
        <v>14</v>
      </c>
      <c r="D23">
        <v>0</v>
      </c>
      <c r="E23">
        <v>25</v>
      </c>
      <c r="F23">
        <v>0</v>
      </c>
      <c r="G23">
        <f>SUM(D23:F23)</f>
        <v>25</v>
      </c>
    </row>
    <row r="24" spans="3:7" x14ac:dyDescent="0.25">
      <c r="C24" t="s">
        <v>8</v>
      </c>
      <c r="D24">
        <v>3</v>
      </c>
      <c r="E24">
        <v>2</v>
      </c>
      <c r="F24">
        <v>0</v>
      </c>
      <c r="G24">
        <f>SUM(D24:F24)</f>
        <v>5</v>
      </c>
    </row>
    <row r="25" spans="3:7" x14ac:dyDescent="0.25">
      <c r="C25" t="s">
        <v>9</v>
      </c>
      <c r="D25">
        <v>0</v>
      </c>
      <c r="E25">
        <v>0</v>
      </c>
      <c r="F25">
        <v>0</v>
      </c>
      <c r="G25">
        <f>SUM(D25:F25)</f>
        <v>0</v>
      </c>
    </row>
    <row r="26" spans="3:7" x14ac:dyDescent="0.25">
      <c r="C26" t="s">
        <v>11</v>
      </c>
      <c r="D26">
        <v>0</v>
      </c>
      <c r="E26">
        <v>0</v>
      </c>
      <c r="F26">
        <v>0</v>
      </c>
      <c r="G26">
        <f>SUM(D26:F26)</f>
        <v>0</v>
      </c>
    </row>
  </sheetData>
  <sortState xmlns:xlrd2="http://schemas.microsoft.com/office/spreadsheetml/2017/richdata2" ref="C19:G26">
    <sortCondition descending="1" ref="G19:G26"/>
  </sortState>
  <mergeCells count="1">
    <mergeCell ref="C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INPUT</vt:lpstr>
      <vt:lpstr>MAX CAP.</vt:lpstr>
      <vt:lpstr>CPLEX</vt:lpstr>
      <vt:lpstr>MATLAB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Nguyen</dc:creator>
  <cp:lastModifiedBy>Khai Nguyen</cp:lastModifiedBy>
  <dcterms:created xsi:type="dcterms:W3CDTF">2025-10-27T15:51:15Z</dcterms:created>
  <dcterms:modified xsi:type="dcterms:W3CDTF">2025-10-27T18:01:15Z</dcterms:modified>
</cp:coreProperties>
</file>